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ADD805-1B2A-4033-815D-67358E3EC641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Resumen General" sheetId="1" r:id="rId1"/>
    <sheet name="Entidades y Funciones" sheetId="2" r:id="rId2"/>
    <sheet name="Validaciones y Reglas" sheetId="3" r:id="rId3"/>
    <sheet name="Funciones Especiales" sheetId="4" r:id="rId4"/>
    <sheet name="Flujos de Registr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2" l="1"/>
  <c r="H21" i="2"/>
  <c r="G21" i="2"/>
  <c r="F21" i="2"/>
  <c r="E21" i="2"/>
</calcChain>
</file>

<file path=xl/sharedStrings.xml><?xml version="1.0" encoding="utf-8"?>
<sst xmlns="http://schemas.openxmlformats.org/spreadsheetml/2006/main" count="358" uniqueCount="199">
  <si>
    <t>OPERACIONES CRUD ESTÁNDAR</t>
  </si>
  <si>
    <t>Operación</t>
  </si>
  <si>
    <t>Función</t>
  </si>
  <si>
    <t>Descripción</t>
  </si>
  <si>
    <t>CREATE</t>
  </si>
  <si>
    <t>fun_insert_[entidad]</t>
  </si>
  <si>
    <t>Crear nuevo registro</t>
  </si>
  <si>
    <t>READ</t>
  </si>
  <si>
    <t>fun_listar_[entidad]</t>
  </si>
  <si>
    <t>Consultar registros</t>
  </si>
  <si>
    <t>UPDATE</t>
  </si>
  <si>
    <t>fun_update_[entidad]</t>
  </si>
  <si>
    <t>Modificar registro</t>
  </si>
  <si>
    <t>DELETE</t>
  </si>
  <si>
    <t>fun_softdelete_[entidad]</t>
  </si>
  <si>
    <t>Marcar como eliminado (borrado lógico)</t>
  </si>
  <si>
    <t>RESTORE</t>
  </si>
  <si>
    <t>fun_restore_[entidad]</t>
  </si>
  <si>
    <t>Recuperar registro eliminado</t>
  </si>
  <si>
    <t>RESUMEN DEL SISTEMA</t>
  </si>
  <si>
    <t>Elemento</t>
  </si>
  <si>
    <t>Cantidad / Valor</t>
  </si>
  <si>
    <t>Tablas Principales</t>
  </si>
  <si>
    <t>Carpetas de Funciones</t>
  </si>
  <si>
    <t>Transacciones CRUD por Carpeta</t>
  </si>
  <si>
    <t>5</t>
  </si>
  <si>
    <t>Total Transacciones CRUD</t>
  </si>
  <si>
    <t>Funciones Especiales Importantes</t>
  </si>
  <si>
    <t>3</t>
  </si>
  <si>
    <t>Roles Predefinidos</t>
  </si>
  <si>
    <t>3 (admin, conductor, pasajero)</t>
  </si>
  <si>
    <t>Validez de Tokens de Reset</t>
  </si>
  <si>
    <t>12 horas</t>
  </si>
  <si>
    <t>Tipos de Incidentes</t>
  </si>
  <si>
    <t>5 (C, E, D, A, O)</t>
  </si>
  <si>
    <t>#</t>
  </si>
  <si>
    <t>Icono</t>
  </si>
  <si>
    <t>Entidad</t>
  </si>
  <si>
    <t>Carpeta</t>
  </si>
  <si>
    <t>INSERT</t>
  </si>
  <si>
    <t>👤</t>
  </si>
  <si>
    <t>Usuarios</t>
  </si>
  <si>
    <t>usuarios/</t>
  </si>
  <si>
    <t>✅</t>
  </si>
  <si>
    <t>🚌</t>
  </si>
  <si>
    <t>Conductores</t>
  </si>
  <si>
    <t>conductores/</t>
  </si>
  <si>
    <t>👥</t>
  </si>
  <si>
    <t>Pasajeros</t>
  </si>
  <si>
    <t>pasajeros/</t>
  </si>
  <si>
    <t>🚐</t>
  </si>
  <si>
    <t>Buses</t>
  </si>
  <si>
    <t>buses/</t>
  </si>
  <si>
    <t>🗺️</t>
  </si>
  <si>
    <t>Rutas</t>
  </si>
  <si>
    <t>rutas/</t>
  </si>
  <si>
    <t>🔗</t>
  </si>
  <si>
    <t>Ruta-Bus</t>
  </si>
  <si>
    <t>ruta_bus/</t>
  </si>
  <si>
    <t>⚠️</t>
  </si>
  <si>
    <t>Incidentes</t>
  </si>
  <si>
    <t>incidentes/</t>
  </si>
  <si>
    <t>🔧</t>
  </si>
  <si>
    <t>Mantenimiento</t>
  </si>
  <si>
    <t>mantenimiento/</t>
  </si>
  <si>
    <t>🔄</t>
  </si>
  <si>
    <t>Cambio de Buses</t>
  </si>
  <si>
    <t>cambio_bus/</t>
  </si>
  <si>
    <t>🔔</t>
  </si>
  <si>
    <t>Notificaciones</t>
  </si>
  <si>
    <t>notificaciones/</t>
  </si>
  <si>
    <t>🏢</t>
  </si>
  <si>
    <t>Parque Automotor</t>
  </si>
  <si>
    <t>parque_automotor/</t>
  </si>
  <si>
    <t>Propietarios</t>
  </si>
  <si>
    <t>propietarios/</t>
  </si>
  <si>
    <t>🔐</t>
  </si>
  <si>
    <t>Roles</t>
  </si>
  <si>
    <t>roles/</t>
  </si>
  <si>
    <t>Usuarios-Roles</t>
  </si>
  <si>
    <t>usuarios_roles/</t>
  </si>
  <si>
    <t>⭐</t>
  </si>
  <si>
    <t>Rutas Favoritas</t>
  </si>
  <si>
    <t>rutas_favoritas/</t>
  </si>
  <si>
    <t>TOTAL TRANSACCIONES CRUD</t>
  </si>
  <si>
    <t>Campo / Regla</t>
  </si>
  <si>
    <t>Descripción / Valores Válidos</t>
  </si>
  <si>
    <t>Tipo</t>
  </si>
  <si>
    <t>Obligatorio</t>
  </si>
  <si>
    <t>Notas</t>
  </si>
  <si>
    <t>Correo</t>
  </si>
  <si>
    <t>Debe ser único en el sistema</t>
  </si>
  <si>
    <t>Texto</t>
  </si>
  <si>
    <t>Validación en INSERT</t>
  </si>
  <si>
    <t>Contraseña</t>
  </si>
  <si>
    <t>Mínimo 8 caracteres</t>
  </si>
  <si>
    <t>ID Conductor</t>
  </si>
  <si>
    <t>Valor numérico &gt; 100,000</t>
  </si>
  <si>
    <t>Entero</t>
  </si>
  <si>
    <t>Edad</t>
  </si>
  <si>
    <t>Mínimo 18 años</t>
  </si>
  <si>
    <t>Licencia</t>
  </si>
  <si>
    <t>No debe estar vencida</t>
  </si>
  <si>
    <t>Fecha</t>
  </si>
  <si>
    <t>Tipo Licencia</t>
  </si>
  <si>
    <t>C1, C2, C3</t>
  </si>
  <si>
    <t>Enum</t>
  </si>
  <si>
    <t>Estado</t>
  </si>
  <si>
    <t>A (activo), S (suspendido), R (retirado)</t>
  </si>
  <si>
    <t>Tipo de Sangre</t>
  </si>
  <si>
    <t>Valor válido de tipo sanguíneo</t>
  </si>
  <si>
    <t>Tipo Bus</t>
  </si>
  <si>
    <t>U (urbano), M (municipal), A (articulado), E (especializado)</t>
  </si>
  <si>
    <t>Estado Bus</t>
  </si>
  <si>
    <t>L (libre), F (fuera servicio), D (dañado), S (suspendido), T (taller), A (activo)</t>
  </si>
  <si>
    <t>Conductor</t>
  </si>
  <si>
    <t>Debe existir en tab_conductores</t>
  </si>
  <si>
    <t>FK</t>
  </si>
  <si>
    <t>Integridad referencial</t>
  </si>
  <si>
    <t>Tipo Incidente</t>
  </si>
  <si>
    <t>C (choque), E (embotellamiento), D (desviación), A (atropello), O (otros)</t>
  </si>
  <si>
    <t>Predefinidos</t>
  </si>
  <si>
    <t>1=admin, 2=conductor, 3=pasajero</t>
  </si>
  <si>
    <t>Reset Password</t>
  </si>
  <si>
    <t>Token</t>
  </si>
  <si>
    <t>Válido por 12 horas, único por email</t>
  </si>
  <si>
    <t>Limpieza automática</t>
  </si>
  <si>
    <t>FUNCIONES ESPECIALES</t>
  </si>
  <si>
    <t>Parámetros</t>
  </si>
  <si>
    <t>Retorno</t>
  </si>
  <si>
    <t>iniciar_sesion_usuarios</t>
  </si>
  <si>
    <t>correo, contrasena</t>
  </si>
  <si>
    <t>BOOLEAN</t>
  </si>
  <si>
    <t>Autenticación del sistema — valida credenciales contra la base de datos</t>
  </si>
  <si>
    <t>fn_user_change_password</t>
  </si>
  <si>
    <t>id_usuario, actual, nueva</t>
  </si>
  <si>
    <t>—</t>
  </si>
  <si>
    <t>Permite al usuario cambiar su contraseña</t>
  </si>
  <si>
    <t>fun_insert_usuario</t>
  </si>
  <si>
    <t>nombre, correo, contrasena</t>
  </si>
  <si>
    <t>Crea usuario validando correo único y contraseña ≥ 8 caracteres</t>
  </si>
  <si>
    <t>alter_notificaciones_usuario_o_rol</t>
  </si>
  <si>
    <t>id_notif, id_usuario, id_rol</t>
  </si>
  <si>
    <t>Cambia destinatario de notificación (usuario específico o rol completo)</t>
  </si>
  <si>
    <t>TRIGGERS AUTOMÁTICOS</t>
  </si>
  <si>
    <t>Trigger</t>
  </si>
  <si>
    <t>Evento</t>
  </si>
  <si>
    <t>Tabla</t>
  </si>
  <si>
    <t>Momento</t>
  </si>
  <si>
    <t>Acción</t>
  </si>
  <si>
    <t>tri_audit_[tabla]</t>
  </si>
  <si>
    <t>INSERT / UPDATE</t>
  </si>
  <si>
    <t>Todas las tablas</t>
  </si>
  <si>
    <t>BEFORE</t>
  </si>
  <si>
    <t>Registra usr_insert, fec_insert, usr_update, fec_update automáticamente</t>
  </si>
  <si>
    <t>tri_soft_delete_[tabla]</t>
  </si>
  <si>
    <t>Marca usr_delete, fec_delete (no elimina físicamente)</t>
  </si>
  <si>
    <t>tri_crear_perfil_por_rol</t>
  </si>
  <si>
    <t>tab_usuarios_roles</t>
  </si>
  <si>
    <t>AFTER</t>
  </si>
  <si>
    <t>Al asignar rol 'pasajero', crea perfil en tab_pasajeros copiando nombre y correo</t>
  </si>
  <si>
    <t>REGISTRAR UN PASAJERO</t>
  </si>
  <si>
    <t>Paso</t>
  </si>
  <si>
    <t>Función / Acción</t>
  </si>
  <si>
    <t>1</t>
  </si>
  <si>
    <t>fun_insert_usuario()</t>
  </si>
  <si>
    <t>Crear usuario base en el sistema</t>
  </si>
  <si>
    <t>2</t>
  </si>
  <si>
    <t>fun_insert_tab_usuarios_roles()</t>
  </si>
  <si>
    <t>Asignar rol 'pasajero' → dispara creación automática del perfil</t>
  </si>
  <si>
    <t>fun_insert_rutas_favoritas()</t>
  </si>
  <si>
    <t>Opcional: añadir rutas favoritas</t>
  </si>
  <si>
    <t>Opcional</t>
  </si>
  <si>
    <t>REGISTRAR UN CONDUCTOR</t>
  </si>
  <si>
    <t>fun_insert_conductores()</t>
  </si>
  <si>
    <t>Crear perfil de conductor con validaciones</t>
  </si>
  <si>
    <t>Asignar rol 'conductor'</t>
  </si>
  <si>
    <t>4</t>
  </si>
  <si>
    <t>fun_insert_buses()</t>
  </si>
  <si>
    <t>Asignar el conductor a un bus</t>
  </si>
  <si>
    <t>CREAR UNA RUTA</t>
  </si>
  <si>
    <t>fun_insert_rutas()</t>
  </si>
  <si>
    <t>Crear la ruta con horarios, ubicaciones y tarifa</t>
  </si>
  <si>
    <t>Insertar en tab_ruta_waypoints</t>
  </si>
  <si>
    <t>Opcional: definir puntos intermedios GPS</t>
  </si>
  <si>
    <t>fun_insert_ruta_bus()</t>
  </si>
  <si>
    <t>Asignar buses a la ruta</t>
  </si>
  <si>
    <t>BUSLINNES — LISTADO DE TRANSACCIONES</t>
  </si>
  <si>
    <t>Sistema de Gestión de Rutas de Transporte  |  Fecha: 18/03/2026  |  Versión: 1.0</t>
  </si>
  <si>
    <t>Buslinnes · Gestión de Rutas de Transporte  |  18/03/2026</t>
  </si>
  <si>
    <t>Buslinnes · Restricciones y valores válidos por entidad  |  18/03/2026</t>
  </si>
  <si>
    <t>Buslinnes · Lógica avanzada del sistema  |  18/03/2026</t>
  </si>
  <si>
    <t>Buslinnes · Secuencia de pasos para registrar cada entidad  |  18/03/2026</t>
  </si>
  <si>
    <t>FUNCIONES ESPECIALES Y TRIGGERS AUTOMÁTICOS</t>
  </si>
  <si>
    <t>Waypoints</t>
  </si>
  <si>
    <t>rutas_waypoints/</t>
  </si>
  <si>
    <t>VALIDACIONES Y REGLAS DE NEGOCIO</t>
  </si>
  <si>
    <t>ENTIDADES DEL SISTEMA — FUNCIONES CRUD</t>
  </si>
  <si>
    <t>FLUJOS DE REGISTRO TÍPICOS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</si>
</sst>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70AD47"/>
      <name val="Arial"/>
    </font>
    <font>
      <sz val="10"/>
      <color rgb="FF000000"/>
      <name val="Arial"/>
    </font>
    <font>
      <b/>
      <sz val="10"/>
      <color rgb="FF2E75B6"/>
      <name val="Arial"/>
    </font>
    <font>
      <b/>
      <sz val="10"/>
      <color rgb="FFED7D31"/>
      <name val="Arial"/>
    </font>
    <font>
      <b/>
      <sz val="10"/>
      <color rgb="FFFF0000"/>
      <name val="Arial"/>
    </font>
    <font>
      <b/>
      <sz val="10"/>
      <color rgb="FF7030A0"/>
      <name val="Arial"/>
    </font>
    <font>
      <b/>
      <sz val="10"/>
      <color rgb="FF000000"/>
      <name val="Arial"/>
    </font>
    <font>
      <b/>
      <sz val="14"/>
      <color rgb="FFFFFFFF"/>
      <name val="Arial"/>
    </font>
    <font>
      <sz val="12"/>
      <name val="Arial"/>
    </font>
    <font>
      <b/>
      <sz val="10"/>
      <name val="Arial"/>
    </font>
    <font>
      <sz val="9"/>
      <color rgb="FF595959"/>
      <name val="Arial"/>
    </font>
    <font>
      <b/>
      <sz val="9"/>
      <color rgb="FF000000"/>
      <name val="Arial"/>
    </font>
    <font>
      <b/>
      <sz val="9"/>
      <name val="Arial"/>
    </font>
    <font>
      <b/>
      <sz val="10"/>
      <color rgb="FF8059D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8059D4"/>
        <bgColor indexed="64"/>
      </patternFill>
    </fill>
    <fill>
      <patternFill patternType="solid">
        <fgColor rgb="FF36216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0" fillId="5" borderId="0" xfId="0" applyFill="1"/>
    <xf numFmtId="0" fontId="4" fillId="5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059D4"/>
      <color rgb="FF3621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pane ySplit="2" topLeftCell="A3" activePane="bottomLeft" state="frozen"/>
      <selection pane="bottomLeft" activeCell="E6" sqref="E6"/>
    </sheetView>
  </sheetViews>
  <sheetFormatPr baseColWidth="10" defaultColWidth="9.140625" defaultRowHeight="15" x14ac:dyDescent="0.25"/>
  <cols>
    <col min="1" max="2" width="32" customWidth="1"/>
    <col min="3" max="3" width="45" customWidth="1"/>
    <col min="4" max="8" width="12" customWidth="1"/>
  </cols>
  <sheetData>
    <row r="1" spans="1:8" ht="32.1" customHeight="1" x14ac:dyDescent="0.25">
      <c r="A1" s="43" t="s">
        <v>187</v>
      </c>
      <c r="B1" s="39"/>
      <c r="C1" s="39"/>
      <c r="D1" s="39"/>
      <c r="E1" s="39"/>
      <c r="F1" s="39"/>
      <c r="G1" s="39"/>
      <c r="H1" s="39"/>
    </row>
    <row r="2" spans="1:8" ht="20.100000000000001" customHeight="1" x14ac:dyDescent="0.25">
      <c r="A2" s="32" t="s">
        <v>188</v>
      </c>
      <c r="B2" s="33"/>
      <c r="C2" s="33"/>
      <c r="D2" s="33"/>
      <c r="E2" s="33"/>
      <c r="F2" s="33"/>
      <c r="G2" s="33"/>
      <c r="H2" s="33"/>
    </row>
    <row r="3" spans="1:8" ht="8.1" customHeight="1" x14ac:dyDescent="0.25"/>
    <row r="4" spans="1:8" ht="20.100000000000001" customHeight="1" x14ac:dyDescent="0.25">
      <c r="A4" s="34" t="s">
        <v>0</v>
      </c>
      <c r="B4" s="33"/>
      <c r="C4" s="33"/>
    </row>
    <row r="5" spans="1:8" ht="18" customHeight="1" x14ac:dyDescent="0.25">
      <c r="A5" s="41" t="s">
        <v>1</v>
      </c>
      <c r="B5" s="41" t="s">
        <v>2</v>
      </c>
      <c r="C5" s="41" t="s">
        <v>3</v>
      </c>
    </row>
    <row r="6" spans="1:8" ht="18" customHeight="1" x14ac:dyDescent="0.25">
      <c r="A6" s="1" t="s">
        <v>4</v>
      </c>
      <c r="B6" s="2" t="s">
        <v>5</v>
      </c>
      <c r="C6" s="3" t="s">
        <v>6</v>
      </c>
    </row>
    <row r="7" spans="1:8" ht="18" customHeight="1" x14ac:dyDescent="0.25">
      <c r="A7" s="4" t="s">
        <v>7</v>
      </c>
      <c r="B7" s="5" t="s">
        <v>8</v>
      </c>
      <c r="C7" s="6" t="s">
        <v>9</v>
      </c>
    </row>
    <row r="8" spans="1:8" ht="18" customHeight="1" x14ac:dyDescent="0.25">
      <c r="A8" s="7" t="s">
        <v>10</v>
      </c>
      <c r="B8" s="2" t="s">
        <v>11</v>
      </c>
      <c r="C8" s="3" t="s">
        <v>12</v>
      </c>
    </row>
    <row r="9" spans="1:8" ht="18" customHeight="1" x14ac:dyDescent="0.25">
      <c r="A9" s="8" t="s">
        <v>13</v>
      </c>
      <c r="B9" s="5" t="s">
        <v>14</v>
      </c>
      <c r="C9" s="6" t="s">
        <v>15</v>
      </c>
    </row>
    <row r="10" spans="1:8" ht="18" customHeight="1" x14ac:dyDescent="0.25">
      <c r="A10" s="9" t="s">
        <v>16</v>
      </c>
      <c r="B10" s="2" t="s">
        <v>17</v>
      </c>
      <c r="C10" s="3" t="s">
        <v>18</v>
      </c>
    </row>
    <row r="12" spans="1:8" ht="9.9499999999999993" customHeight="1" x14ac:dyDescent="0.25"/>
    <row r="13" spans="1:8" ht="20.100000000000001" customHeight="1" x14ac:dyDescent="0.25">
      <c r="A13" s="34" t="s">
        <v>19</v>
      </c>
      <c r="B13" s="33"/>
      <c r="C13" s="33"/>
      <c r="D13" s="33"/>
      <c r="E13" s="33"/>
      <c r="F13" s="33"/>
      <c r="G13" s="33"/>
      <c r="H13" s="33"/>
    </row>
    <row r="14" spans="1:8" ht="18" customHeight="1" x14ac:dyDescent="0.25">
      <c r="A14" s="41" t="s">
        <v>20</v>
      </c>
      <c r="B14" s="41" t="s">
        <v>21</v>
      </c>
    </row>
    <row r="15" spans="1:8" ht="18" customHeight="1" x14ac:dyDescent="0.25">
      <c r="A15" s="10" t="s">
        <v>22</v>
      </c>
      <c r="B15" s="11">
        <v>16</v>
      </c>
    </row>
    <row r="16" spans="1:8" ht="18" customHeight="1" x14ac:dyDescent="0.25">
      <c r="A16" s="26" t="s">
        <v>23</v>
      </c>
      <c r="B16" s="27">
        <v>16</v>
      </c>
    </row>
    <row r="17" spans="1:2" ht="18" customHeight="1" x14ac:dyDescent="0.25">
      <c r="A17" s="28" t="s">
        <v>24</v>
      </c>
      <c r="B17" s="29" t="s">
        <v>25</v>
      </c>
    </row>
    <row r="18" spans="1:2" ht="18" customHeight="1" x14ac:dyDescent="0.25">
      <c r="A18" s="30" t="s">
        <v>26</v>
      </c>
      <c r="B18" s="31">
        <v>88</v>
      </c>
    </row>
    <row r="19" spans="1:2" ht="18" customHeight="1" x14ac:dyDescent="0.25">
      <c r="A19" s="28" t="s">
        <v>27</v>
      </c>
      <c r="B19" s="29" t="s">
        <v>28</v>
      </c>
    </row>
    <row r="20" spans="1:2" ht="18" customHeight="1" x14ac:dyDescent="0.25">
      <c r="A20" s="30" t="s">
        <v>29</v>
      </c>
      <c r="B20" s="31" t="s">
        <v>30</v>
      </c>
    </row>
    <row r="21" spans="1:2" ht="18" customHeight="1" x14ac:dyDescent="0.25">
      <c r="A21" s="28" t="s">
        <v>31</v>
      </c>
      <c r="B21" s="29" t="s">
        <v>32</v>
      </c>
    </row>
    <row r="22" spans="1:2" ht="18" customHeight="1" x14ac:dyDescent="0.25">
      <c r="A22" s="30" t="s">
        <v>33</v>
      </c>
      <c r="B22" s="31" t="s">
        <v>34</v>
      </c>
    </row>
  </sheetData>
  <mergeCells count="4">
    <mergeCell ref="A4:C4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4" topLeftCell="A5" activePane="bottomLeft" state="frozen"/>
      <selection pane="bottomLeft" activeCell="A5" sqref="A5:A20"/>
    </sheetView>
  </sheetViews>
  <sheetFormatPr baseColWidth="10" defaultColWidth="9.140625" defaultRowHeight="15" x14ac:dyDescent="0.25"/>
  <cols>
    <col min="1" max="1" width="5" customWidth="1"/>
    <col min="2" max="2" width="7" customWidth="1"/>
    <col min="3" max="4" width="22" customWidth="1"/>
    <col min="5" max="9" width="10" customWidth="1"/>
  </cols>
  <sheetData>
    <row r="1" spans="1:9" ht="30" customHeight="1" x14ac:dyDescent="0.25">
      <c r="A1" s="38" t="s">
        <v>197</v>
      </c>
      <c r="B1" s="39"/>
      <c r="C1" s="39"/>
      <c r="D1" s="39"/>
      <c r="E1" s="39"/>
      <c r="F1" s="39"/>
      <c r="G1" s="39"/>
      <c r="H1" s="39"/>
      <c r="I1" s="39"/>
    </row>
    <row r="2" spans="1:9" ht="18" customHeight="1" x14ac:dyDescent="0.25">
      <c r="A2" s="32" t="s">
        <v>189</v>
      </c>
      <c r="B2" s="33"/>
      <c r="C2" s="33"/>
      <c r="D2" s="33"/>
      <c r="E2" s="33"/>
      <c r="F2" s="33"/>
      <c r="G2" s="33"/>
      <c r="H2" s="33"/>
      <c r="I2" s="33"/>
    </row>
    <row r="4" spans="1:9" ht="21.95" customHeight="1" x14ac:dyDescent="0.25">
      <c r="A4" s="40" t="s">
        <v>35</v>
      </c>
      <c r="B4" s="40" t="s">
        <v>36</v>
      </c>
      <c r="C4" s="40" t="s">
        <v>37</v>
      </c>
      <c r="D4" s="40" t="s">
        <v>38</v>
      </c>
      <c r="E4" s="40" t="s">
        <v>39</v>
      </c>
      <c r="F4" s="40" t="s">
        <v>7</v>
      </c>
      <c r="G4" s="40" t="s">
        <v>10</v>
      </c>
      <c r="H4" s="40" t="s">
        <v>13</v>
      </c>
      <c r="I4" s="40" t="s">
        <v>16</v>
      </c>
    </row>
    <row r="5" spans="1:9" ht="21.95" customHeight="1" x14ac:dyDescent="0.25">
      <c r="A5" s="44">
        <v>1</v>
      </c>
      <c r="B5" s="13" t="s">
        <v>40</v>
      </c>
      <c r="C5" s="14" t="s">
        <v>41</v>
      </c>
      <c r="D5" s="15" t="s">
        <v>42</v>
      </c>
      <c r="E5" s="13" t="s">
        <v>43</v>
      </c>
      <c r="F5" s="13" t="s">
        <v>43</v>
      </c>
      <c r="G5" s="13" t="s">
        <v>43</v>
      </c>
      <c r="H5" s="13" t="s">
        <v>43</v>
      </c>
      <c r="I5" s="13" t="s">
        <v>43</v>
      </c>
    </row>
    <row r="6" spans="1:9" ht="21.95" customHeight="1" x14ac:dyDescent="0.25">
      <c r="A6" s="45">
        <v>2</v>
      </c>
      <c r="B6" s="17" t="s">
        <v>44</v>
      </c>
      <c r="C6" s="18" t="s">
        <v>45</v>
      </c>
      <c r="D6" s="19" t="s">
        <v>46</v>
      </c>
      <c r="E6" s="17" t="s">
        <v>43</v>
      </c>
      <c r="F6" s="17" t="s">
        <v>43</v>
      </c>
      <c r="G6" s="17" t="s">
        <v>43</v>
      </c>
      <c r="H6" s="17" t="s">
        <v>43</v>
      </c>
      <c r="I6" s="17" t="s">
        <v>43</v>
      </c>
    </row>
    <row r="7" spans="1:9" ht="21.95" customHeight="1" x14ac:dyDescent="0.25">
      <c r="A7" s="44">
        <v>3</v>
      </c>
      <c r="B7" s="13" t="s">
        <v>47</v>
      </c>
      <c r="C7" s="14" t="s">
        <v>48</v>
      </c>
      <c r="D7" s="15" t="s">
        <v>49</v>
      </c>
      <c r="E7" s="13" t="s">
        <v>43</v>
      </c>
      <c r="F7" s="13" t="s">
        <v>43</v>
      </c>
      <c r="G7" s="13" t="s">
        <v>43</v>
      </c>
      <c r="H7" s="13" t="s">
        <v>43</v>
      </c>
      <c r="I7" s="13" t="s">
        <v>43</v>
      </c>
    </row>
    <row r="8" spans="1:9" ht="21.95" customHeight="1" x14ac:dyDescent="0.25">
      <c r="A8" s="45">
        <v>4</v>
      </c>
      <c r="B8" s="17" t="s">
        <v>50</v>
      </c>
      <c r="C8" s="18" t="s">
        <v>51</v>
      </c>
      <c r="D8" s="19" t="s">
        <v>52</v>
      </c>
      <c r="E8" s="17" t="s">
        <v>43</v>
      </c>
      <c r="F8" s="17" t="s">
        <v>43</v>
      </c>
      <c r="G8" s="17" t="s">
        <v>43</v>
      </c>
      <c r="H8" s="17" t="s">
        <v>43</v>
      </c>
      <c r="I8" s="17" t="s">
        <v>43</v>
      </c>
    </row>
    <row r="9" spans="1:9" ht="21.95" customHeight="1" x14ac:dyDescent="0.25">
      <c r="A9" s="44">
        <v>5</v>
      </c>
      <c r="B9" s="13" t="s">
        <v>53</v>
      </c>
      <c r="C9" s="14" t="s">
        <v>54</v>
      </c>
      <c r="D9" s="15" t="s">
        <v>55</v>
      </c>
      <c r="E9" s="13" t="s">
        <v>43</v>
      </c>
      <c r="F9" s="13" t="s">
        <v>43</v>
      </c>
      <c r="G9" s="13" t="s">
        <v>43</v>
      </c>
      <c r="H9" s="13" t="s">
        <v>43</v>
      </c>
      <c r="I9" s="13" t="s">
        <v>43</v>
      </c>
    </row>
    <row r="10" spans="1:9" ht="21.95" customHeight="1" x14ac:dyDescent="0.25">
      <c r="A10" s="45">
        <v>6</v>
      </c>
      <c r="B10" s="17" t="s">
        <v>56</v>
      </c>
      <c r="C10" s="18" t="s">
        <v>57</v>
      </c>
      <c r="D10" s="19" t="s">
        <v>58</v>
      </c>
      <c r="E10" s="17" t="s">
        <v>43</v>
      </c>
      <c r="F10" s="17" t="s">
        <v>43</v>
      </c>
      <c r="G10" s="17" t="s">
        <v>43</v>
      </c>
      <c r="H10" s="17" t="s">
        <v>43</v>
      </c>
      <c r="I10" s="17" t="s">
        <v>43</v>
      </c>
    </row>
    <row r="11" spans="1:9" ht="21.95" customHeight="1" x14ac:dyDescent="0.25">
      <c r="A11" s="44">
        <v>7</v>
      </c>
      <c r="B11" s="13" t="s">
        <v>59</v>
      </c>
      <c r="C11" s="14" t="s">
        <v>60</v>
      </c>
      <c r="D11" s="15" t="s">
        <v>61</v>
      </c>
      <c r="E11" s="13" t="s">
        <v>43</v>
      </c>
      <c r="F11" s="13" t="s">
        <v>43</v>
      </c>
      <c r="G11" s="13" t="s">
        <v>43</v>
      </c>
      <c r="H11" s="13" t="s">
        <v>43</v>
      </c>
      <c r="I11" s="13" t="s">
        <v>43</v>
      </c>
    </row>
    <row r="12" spans="1:9" ht="21.95" customHeight="1" x14ac:dyDescent="0.25">
      <c r="A12" s="45">
        <v>8</v>
      </c>
      <c r="B12" s="17" t="s">
        <v>62</v>
      </c>
      <c r="C12" s="18" t="s">
        <v>63</v>
      </c>
      <c r="D12" s="19" t="s">
        <v>64</v>
      </c>
      <c r="E12" s="17" t="s">
        <v>43</v>
      </c>
      <c r="F12" s="17" t="s">
        <v>43</v>
      </c>
      <c r="G12" s="17" t="s">
        <v>43</v>
      </c>
      <c r="H12" s="17" t="s">
        <v>43</v>
      </c>
      <c r="I12" s="17" t="s">
        <v>43</v>
      </c>
    </row>
    <row r="13" spans="1:9" ht="21.95" customHeight="1" x14ac:dyDescent="0.25">
      <c r="A13" s="44">
        <v>9</v>
      </c>
      <c r="B13" s="13" t="s">
        <v>65</v>
      </c>
      <c r="C13" s="14" t="s">
        <v>66</v>
      </c>
      <c r="D13" s="15" t="s">
        <v>67</v>
      </c>
      <c r="E13" s="13" t="s">
        <v>43</v>
      </c>
      <c r="F13" s="13" t="s">
        <v>43</v>
      </c>
      <c r="G13" s="13" t="s">
        <v>43</v>
      </c>
      <c r="H13" s="13" t="s">
        <v>43</v>
      </c>
      <c r="I13" s="13" t="s">
        <v>43</v>
      </c>
    </row>
    <row r="14" spans="1:9" ht="21.95" customHeight="1" x14ac:dyDescent="0.25">
      <c r="A14" s="45">
        <v>10</v>
      </c>
      <c r="B14" s="17" t="s">
        <v>68</v>
      </c>
      <c r="C14" s="18" t="s">
        <v>69</v>
      </c>
      <c r="D14" s="19" t="s">
        <v>70</v>
      </c>
      <c r="E14" s="17" t="s">
        <v>43</v>
      </c>
      <c r="F14" s="17" t="s">
        <v>43</v>
      </c>
      <c r="G14" s="17" t="s">
        <v>43</v>
      </c>
      <c r="H14" s="17" t="s">
        <v>43</v>
      </c>
      <c r="I14" s="17" t="s">
        <v>43</v>
      </c>
    </row>
    <row r="15" spans="1:9" ht="21.95" customHeight="1" x14ac:dyDescent="0.25">
      <c r="A15" s="44">
        <v>11</v>
      </c>
      <c r="B15" s="13" t="s">
        <v>71</v>
      </c>
      <c r="C15" s="14" t="s">
        <v>72</v>
      </c>
      <c r="D15" s="15" t="s">
        <v>73</v>
      </c>
      <c r="E15" s="13" t="s">
        <v>43</v>
      </c>
      <c r="F15" s="13" t="s">
        <v>43</v>
      </c>
      <c r="G15" s="13" t="s">
        <v>43</v>
      </c>
      <c r="H15" s="13" t="s">
        <v>43</v>
      </c>
      <c r="I15" s="13" t="s">
        <v>43</v>
      </c>
    </row>
    <row r="16" spans="1:9" ht="21.95" customHeight="1" x14ac:dyDescent="0.25">
      <c r="A16" s="45">
        <v>12</v>
      </c>
      <c r="B16" s="17" t="s">
        <v>40</v>
      </c>
      <c r="C16" s="18" t="s">
        <v>74</v>
      </c>
      <c r="D16" s="19" t="s">
        <v>75</v>
      </c>
      <c r="E16" s="17" t="s">
        <v>43</v>
      </c>
      <c r="F16" s="17" t="s">
        <v>43</v>
      </c>
      <c r="G16" s="17" t="s">
        <v>43</v>
      </c>
      <c r="H16" s="17" t="s">
        <v>43</v>
      </c>
      <c r="I16" s="17" t="s">
        <v>43</v>
      </c>
    </row>
    <row r="17" spans="1:9" ht="21.95" customHeight="1" x14ac:dyDescent="0.25">
      <c r="A17" s="44">
        <v>13</v>
      </c>
      <c r="B17" s="13" t="s">
        <v>76</v>
      </c>
      <c r="C17" s="14" t="s">
        <v>77</v>
      </c>
      <c r="D17" s="15" t="s">
        <v>78</v>
      </c>
      <c r="E17" s="13" t="s">
        <v>43</v>
      </c>
      <c r="F17" s="13" t="s">
        <v>43</v>
      </c>
      <c r="G17" s="13" t="s">
        <v>43</v>
      </c>
      <c r="H17" s="13" t="s">
        <v>43</v>
      </c>
      <c r="I17" s="13" t="s">
        <v>43</v>
      </c>
    </row>
    <row r="18" spans="1:9" ht="21.95" customHeight="1" x14ac:dyDescent="0.25">
      <c r="A18" s="45">
        <v>14</v>
      </c>
      <c r="B18" s="17" t="s">
        <v>56</v>
      </c>
      <c r="C18" s="18" t="s">
        <v>79</v>
      </c>
      <c r="D18" s="19" t="s">
        <v>80</v>
      </c>
      <c r="E18" s="17" t="s">
        <v>43</v>
      </c>
      <c r="F18" s="17" t="s">
        <v>43</v>
      </c>
      <c r="G18" s="17" t="s">
        <v>43</v>
      </c>
      <c r="H18" s="17" t="s">
        <v>43</v>
      </c>
      <c r="I18" s="17" t="s">
        <v>43</v>
      </c>
    </row>
    <row r="19" spans="1:9" ht="21.95" customHeight="1" x14ac:dyDescent="0.25">
      <c r="A19" s="44">
        <v>15</v>
      </c>
      <c r="B19" s="13" t="s">
        <v>81</v>
      </c>
      <c r="C19" s="14" t="s">
        <v>82</v>
      </c>
      <c r="D19" s="15" t="s">
        <v>83</v>
      </c>
      <c r="E19" s="13" t="s">
        <v>43</v>
      </c>
      <c r="F19" s="13" t="s">
        <v>43</v>
      </c>
      <c r="G19" s="13" t="s">
        <v>43</v>
      </c>
      <c r="H19" s="13" t="s">
        <v>43</v>
      </c>
      <c r="I19" s="13" t="s">
        <v>43</v>
      </c>
    </row>
    <row r="20" spans="1:9" ht="21.95" customHeight="1" x14ac:dyDescent="0.25">
      <c r="A20" s="44">
        <v>16</v>
      </c>
      <c r="B20" s="13" t="s">
        <v>53</v>
      </c>
      <c r="C20" s="14" t="s">
        <v>194</v>
      </c>
      <c r="D20" s="15" t="s">
        <v>195</v>
      </c>
      <c r="E20" s="13" t="s">
        <v>43</v>
      </c>
      <c r="F20" s="13" t="s">
        <v>43</v>
      </c>
      <c r="G20" s="13" t="s">
        <v>43</v>
      </c>
      <c r="H20" s="13" t="s">
        <v>43</v>
      </c>
      <c r="I20" s="13" t="s">
        <v>43</v>
      </c>
    </row>
    <row r="21" spans="1:9" ht="21.95" customHeight="1" x14ac:dyDescent="0.25">
      <c r="A21" s="35" t="s">
        <v>84</v>
      </c>
      <c r="B21" s="36"/>
      <c r="C21" s="36"/>
      <c r="D21" s="36"/>
      <c r="E21" s="37">
        <f>COUNTA(E5:E20)</f>
        <v>16</v>
      </c>
      <c r="F21" s="37">
        <f>COUNTA(F5:F20)</f>
        <v>16</v>
      </c>
      <c r="G21" s="37">
        <f>COUNTA(G5:G20)</f>
        <v>16</v>
      </c>
      <c r="H21" s="37">
        <f>COUNTA(H5:H20)</f>
        <v>16</v>
      </c>
      <c r="I21" s="37">
        <f>COUNTA(I5:I20)</f>
        <v>16</v>
      </c>
    </row>
  </sheetData>
  <mergeCells count="3">
    <mergeCell ref="A1:I1"/>
    <mergeCell ref="A21:D2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pane ySplit="4" topLeftCell="A5" activePane="bottomLeft" state="frozen"/>
      <selection pane="bottomLeft" activeCell="C15" sqref="C15"/>
    </sheetView>
  </sheetViews>
  <sheetFormatPr baseColWidth="10" defaultColWidth="9.140625" defaultRowHeight="15" x14ac:dyDescent="0.25"/>
  <cols>
    <col min="1" max="1" width="20" customWidth="1"/>
    <col min="2" max="2" width="22" customWidth="1"/>
    <col min="3" max="3" width="52" customWidth="1"/>
    <col min="4" max="5" width="12" customWidth="1"/>
    <col min="6" max="6" width="28" customWidth="1"/>
  </cols>
  <sheetData>
    <row r="1" spans="1:6" ht="30" customHeight="1" x14ac:dyDescent="0.25">
      <c r="A1" s="38" t="s">
        <v>196</v>
      </c>
      <c r="B1" s="39"/>
      <c r="C1" s="39"/>
      <c r="D1" s="39"/>
      <c r="E1" s="39"/>
      <c r="F1" s="39"/>
    </row>
    <row r="2" spans="1:6" ht="18" customHeight="1" x14ac:dyDescent="0.25">
      <c r="A2" s="32" t="s">
        <v>190</v>
      </c>
      <c r="B2" s="33"/>
      <c r="C2" s="33"/>
      <c r="D2" s="33"/>
      <c r="E2" s="33"/>
      <c r="F2" s="33"/>
    </row>
    <row r="4" spans="1:6" ht="21.95" customHeight="1" x14ac:dyDescent="0.25">
      <c r="A4" s="40" t="s">
        <v>37</v>
      </c>
      <c r="B4" s="40" t="s">
        <v>85</v>
      </c>
      <c r="C4" s="40" t="s">
        <v>86</v>
      </c>
      <c r="D4" s="40" t="s">
        <v>87</v>
      </c>
      <c r="E4" s="40" t="s">
        <v>88</v>
      </c>
      <c r="F4" s="40" t="s">
        <v>89</v>
      </c>
    </row>
    <row r="5" spans="1:6" ht="21.95" customHeight="1" x14ac:dyDescent="0.25">
      <c r="A5" s="44" t="s">
        <v>41</v>
      </c>
      <c r="B5" s="6" t="s">
        <v>90</v>
      </c>
      <c r="C5" s="6" t="s">
        <v>91</v>
      </c>
      <c r="D5" s="11" t="s">
        <v>92</v>
      </c>
      <c r="E5" s="11" t="s">
        <v>43</v>
      </c>
      <c r="F5" s="6" t="s">
        <v>93</v>
      </c>
    </row>
    <row r="6" spans="1:6" ht="21.95" customHeight="1" x14ac:dyDescent="0.25">
      <c r="A6" s="45" t="s">
        <v>41</v>
      </c>
      <c r="B6" s="3" t="s">
        <v>94</v>
      </c>
      <c r="C6" s="3" t="s">
        <v>95</v>
      </c>
      <c r="D6" s="12" t="s">
        <v>92</v>
      </c>
      <c r="E6" s="12" t="s">
        <v>43</v>
      </c>
      <c r="F6" s="3"/>
    </row>
    <row r="7" spans="1:6" ht="21.95" customHeight="1" x14ac:dyDescent="0.25">
      <c r="A7" s="44" t="s">
        <v>45</v>
      </c>
      <c r="B7" s="6" t="s">
        <v>96</v>
      </c>
      <c r="C7" s="6" t="s">
        <v>97</v>
      </c>
      <c r="D7" s="11" t="s">
        <v>98</v>
      </c>
      <c r="E7" s="11" t="s">
        <v>43</v>
      </c>
      <c r="F7" s="6"/>
    </row>
    <row r="8" spans="1:6" ht="21.95" customHeight="1" x14ac:dyDescent="0.25">
      <c r="A8" s="45" t="s">
        <v>45</v>
      </c>
      <c r="B8" s="3" t="s">
        <v>99</v>
      </c>
      <c r="C8" s="3" t="s">
        <v>100</v>
      </c>
      <c r="D8" s="12" t="s">
        <v>98</v>
      </c>
      <c r="E8" s="12" t="s">
        <v>43</v>
      </c>
      <c r="F8" s="3"/>
    </row>
    <row r="9" spans="1:6" ht="21.95" customHeight="1" x14ac:dyDescent="0.25">
      <c r="A9" s="44" t="s">
        <v>45</v>
      </c>
      <c r="B9" s="6" t="s">
        <v>101</v>
      </c>
      <c r="C9" s="6" t="s">
        <v>102</v>
      </c>
      <c r="D9" s="11" t="s">
        <v>103</v>
      </c>
      <c r="E9" s="11" t="s">
        <v>43</v>
      </c>
      <c r="F9" s="6"/>
    </row>
    <row r="10" spans="1:6" ht="21.95" customHeight="1" x14ac:dyDescent="0.25">
      <c r="A10" s="45" t="s">
        <v>45</v>
      </c>
      <c r="B10" s="3" t="s">
        <v>104</v>
      </c>
      <c r="C10" s="3" t="s">
        <v>105</v>
      </c>
      <c r="D10" s="12" t="s">
        <v>106</v>
      </c>
      <c r="E10" s="12" t="s">
        <v>43</v>
      </c>
      <c r="F10" s="3"/>
    </row>
    <row r="11" spans="1:6" ht="21.95" customHeight="1" x14ac:dyDescent="0.25">
      <c r="A11" s="44" t="s">
        <v>45</v>
      </c>
      <c r="B11" s="6" t="s">
        <v>107</v>
      </c>
      <c r="C11" s="6" t="s">
        <v>108</v>
      </c>
      <c r="D11" s="11" t="s">
        <v>106</v>
      </c>
      <c r="E11" s="11" t="s">
        <v>43</v>
      </c>
      <c r="F11" s="6"/>
    </row>
    <row r="12" spans="1:6" ht="21.95" customHeight="1" x14ac:dyDescent="0.25">
      <c r="A12" s="45" t="s">
        <v>45</v>
      </c>
      <c r="B12" s="3" t="s">
        <v>109</v>
      </c>
      <c r="C12" s="3" t="s">
        <v>110</v>
      </c>
      <c r="D12" s="12" t="s">
        <v>106</v>
      </c>
      <c r="E12" s="12" t="s">
        <v>43</v>
      </c>
      <c r="F12" s="3"/>
    </row>
    <row r="13" spans="1:6" ht="21.95" customHeight="1" x14ac:dyDescent="0.25">
      <c r="A13" s="44" t="s">
        <v>51</v>
      </c>
      <c r="B13" s="6" t="s">
        <v>111</v>
      </c>
      <c r="C13" s="6" t="s">
        <v>112</v>
      </c>
      <c r="D13" s="11" t="s">
        <v>106</v>
      </c>
      <c r="E13" s="11" t="s">
        <v>43</v>
      </c>
      <c r="F13" s="6"/>
    </row>
    <row r="14" spans="1:6" ht="21.95" customHeight="1" x14ac:dyDescent="0.25">
      <c r="A14" s="45" t="s">
        <v>51</v>
      </c>
      <c r="B14" s="3" t="s">
        <v>113</v>
      </c>
      <c r="C14" s="3" t="s">
        <v>114</v>
      </c>
      <c r="D14" s="12" t="s">
        <v>106</v>
      </c>
      <c r="E14" s="12" t="s">
        <v>43</v>
      </c>
      <c r="F14" s="3"/>
    </row>
    <row r="15" spans="1:6" ht="21.95" customHeight="1" x14ac:dyDescent="0.25">
      <c r="A15" s="44" t="s">
        <v>51</v>
      </c>
      <c r="B15" s="6" t="s">
        <v>115</v>
      </c>
      <c r="C15" s="6" t="s">
        <v>116</v>
      </c>
      <c r="D15" s="11" t="s">
        <v>117</v>
      </c>
      <c r="E15" s="11" t="s">
        <v>43</v>
      </c>
      <c r="F15" s="6" t="s">
        <v>118</v>
      </c>
    </row>
    <row r="16" spans="1:6" ht="21.95" customHeight="1" x14ac:dyDescent="0.25">
      <c r="A16" s="45" t="s">
        <v>60</v>
      </c>
      <c r="B16" s="3" t="s">
        <v>119</v>
      </c>
      <c r="C16" s="3" t="s">
        <v>120</v>
      </c>
      <c r="D16" s="12" t="s">
        <v>106</v>
      </c>
      <c r="E16" s="12" t="s">
        <v>43</v>
      </c>
      <c r="F16" s="3"/>
    </row>
    <row r="17" spans="1:6" ht="21.95" customHeight="1" x14ac:dyDescent="0.25">
      <c r="A17" s="44" t="s">
        <v>77</v>
      </c>
      <c r="B17" s="6" t="s">
        <v>121</v>
      </c>
      <c r="C17" s="6" t="s">
        <v>122</v>
      </c>
      <c r="D17" s="11" t="s">
        <v>98</v>
      </c>
      <c r="E17" s="11" t="s">
        <v>43</v>
      </c>
      <c r="F17" s="6"/>
    </row>
    <row r="18" spans="1:6" ht="21.95" customHeight="1" x14ac:dyDescent="0.25">
      <c r="A18" s="45" t="s">
        <v>123</v>
      </c>
      <c r="B18" s="3" t="s">
        <v>124</v>
      </c>
      <c r="C18" s="3" t="s">
        <v>125</v>
      </c>
      <c r="D18" s="12" t="s">
        <v>92</v>
      </c>
      <c r="E18" s="12" t="s">
        <v>43</v>
      </c>
      <c r="F18" s="3" t="s">
        <v>126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tabSelected="1" workbookViewId="0">
      <pane ySplit="4" topLeftCell="A5" activePane="bottomLeft" state="frozen"/>
      <selection pane="bottomLeft" activeCell="A4" sqref="A4:G4"/>
    </sheetView>
  </sheetViews>
  <sheetFormatPr baseColWidth="10" defaultColWidth="9.140625" defaultRowHeight="15" x14ac:dyDescent="0.25"/>
  <cols>
    <col min="1" max="1" width="38" customWidth="1"/>
    <col min="2" max="2" width="20" customWidth="1"/>
    <col min="3" max="3" width="22" customWidth="1"/>
    <col min="4" max="4" width="62.42578125" bestFit="1" customWidth="1"/>
    <col min="5" max="5" width="55" customWidth="1"/>
  </cols>
  <sheetData>
    <row r="1" spans="1:7" ht="30" customHeight="1" x14ac:dyDescent="0.25">
      <c r="A1" s="38" t="s">
        <v>193</v>
      </c>
      <c r="B1" s="39"/>
      <c r="C1" s="39"/>
      <c r="D1" s="39"/>
      <c r="E1" s="39"/>
      <c r="F1" s="39"/>
      <c r="G1" s="39"/>
    </row>
    <row r="2" spans="1:7" ht="18" customHeight="1" x14ac:dyDescent="0.25">
      <c r="A2" s="32" t="s">
        <v>191</v>
      </c>
      <c r="B2" s="33"/>
      <c r="C2" s="33"/>
      <c r="D2" s="33"/>
      <c r="E2" s="33"/>
      <c r="F2" s="33"/>
      <c r="G2" s="33"/>
    </row>
    <row r="4" spans="1:7" ht="20.100000000000001" customHeight="1" x14ac:dyDescent="0.25">
      <c r="A4" s="34" t="s">
        <v>127</v>
      </c>
      <c r="B4" s="34"/>
      <c r="C4" s="34"/>
      <c r="D4" s="34"/>
      <c r="E4" s="34"/>
      <c r="F4" s="34"/>
      <c r="G4" s="34"/>
    </row>
    <row r="5" spans="1:7" ht="18" customHeight="1" x14ac:dyDescent="0.25">
      <c r="A5" s="41" t="s">
        <v>2</v>
      </c>
      <c r="B5" s="41" t="s">
        <v>128</v>
      </c>
      <c r="C5" s="41" t="s">
        <v>129</v>
      </c>
      <c r="D5" s="41" t="s">
        <v>3</v>
      </c>
    </row>
    <row r="6" spans="1:7" ht="21.95" customHeight="1" x14ac:dyDescent="0.25">
      <c r="A6" s="20" t="s">
        <v>130</v>
      </c>
      <c r="B6" s="3" t="s">
        <v>131</v>
      </c>
      <c r="C6" s="12" t="s">
        <v>132</v>
      </c>
      <c r="D6" s="3" t="s">
        <v>133</v>
      </c>
    </row>
    <row r="7" spans="1:7" ht="21.95" customHeight="1" x14ac:dyDescent="0.25">
      <c r="A7" s="21" t="s">
        <v>134</v>
      </c>
      <c r="B7" s="6" t="s">
        <v>135</v>
      </c>
      <c r="C7" s="11" t="s">
        <v>136</v>
      </c>
      <c r="D7" s="6" t="s">
        <v>137</v>
      </c>
    </row>
    <row r="8" spans="1:7" ht="21.95" customHeight="1" x14ac:dyDescent="0.25">
      <c r="A8" s="20" t="s">
        <v>138</v>
      </c>
      <c r="B8" s="3" t="s">
        <v>139</v>
      </c>
      <c r="C8" s="12" t="s">
        <v>136</v>
      </c>
      <c r="D8" s="3" t="s">
        <v>140</v>
      </c>
    </row>
    <row r="9" spans="1:7" ht="21.95" customHeight="1" x14ac:dyDescent="0.25">
      <c r="A9" s="21" t="s">
        <v>141</v>
      </c>
      <c r="B9" s="6" t="s">
        <v>142</v>
      </c>
      <c r="C9" s="11" t="s">
        <v>136</v>
      </c>
      <c r="D9" s="6" t="s">
        <v>143</v>
      </c>
    </row>
    <row r="11" spans="1:7" ht="9.9499999999999993" customHeight="1" x14ac:dyDescent="0.25"/>
    <row r="12" spans="1:7" ht="20.100000000000001" customHeight="1" x14ac:dyDescent="0.25">
      <c r="A12" s="34" t="s">
        <v>144</v>
      </c>
      <c r="B12" s="33"/>
      <c r="C12" s="33"/>
      <c r="D12" s="33"/>
      <c r="E12" s="33"/>
      <c r="F12" s="33"/>
      <c r="G12" s="33"/>
    </row>
    <row r="13" spans="1:7" ht="18" customHeight="1" x14ac:dyDescent="0.25">
      <c r="A13" s="41" t="s">
        <v>145</v>
      </c>
      <c r="B13" s="41" t="s">
        <v>146</v>
      </c>
      <c r="C13" s="41" t="s">
        <v>147</v>
      </c>
      <c r="D13" s="41" t="s">
        <v>148</v>
      </c>
      <c r="E13" s="41" t="s">
        <v>149</v>
      </c>
    </row>
    <row r="14" spans="1:7" ht="21.95" customHeight="1" x14ac:dyDescent="0.25">
      <c r="A14" s="22" t="s">
        <v>150</v>
      </c>
      <c r="B14" s="12" t="s">
        <v>151</v>
      </c>
      <c r="C14" s="3" t="s">
        <v>152</v>
      </c>
      <c r="D14" s="12" t="s">
        <v>153</v>
      </c>
      <c r="E14" s="3" t="s">
        <v>154</v>
      </c>
    </row>
    <row r="15" spans="1:7" ht="21.95" customHeight="1" x14ac:dyDescent="0.25">
      <c r="A15" s="23" t="s">
        <v>155</v>
      </c>
      <c r="B15" s="11" t="s">
        <v>13</v>
      </c>
      <c r="C15" s="6" t="s">
        <v>152</v>
      </c>
      <c r="D15" s="11" t="s">
        <v>153</v>
      </c>
      <c r="E15" s="6" t="s">
        <v>156</v>
      </c>
    </row>
    <row r="16" spans="1:7" ht="21.95" customHeight="1" x14ac:dyDescent="0.25">
      <c r="A16" s="22" t="s">
        <v>157</v>
      </c>
      <c r="B16" s="12" t="s">
        <v>39</v>
      </c>
      <c r="C16" s="3" t="s">
        <v>158</v>
      </c>
      <c r="D16" s="12" t="s">
        <v>159</v>
      </c>
      <c r="E16" s="3" t="s">
        <v>160</v>
      </c>
    </row>
  </sheetData>
  <mergeCells count="4">
    <mergeCell ref="A2:G2"/>
    <mergeCell ref="A1:G1"/>
    <mergeCell ref="A12:G12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pane ySplit="3" topLeftCell="A18" activePane="bottomLeft" state="frozen"/>
      <selection pane="bottomLeft" activeCell="C34" sqref="C34"/>
    </sheetView>
  </sheetViews>
  <sheetFormatPr baseColWidth="10" defaultColWidth="9.140625" defaultRowHeight="15" x14ac:dyDescent="0.25"/>
  <cols>
    <col min="1" max="1" width="8" customWidth="1"/>
    <col min="2" max="2" width="38" customWidth="1"/>
    <col min="3" max="3" width="55" customWidth="1"/>
    <col min="4" max="4" width="13.85546875" customWidth="1"/>
    <col min="5" max="5" width="9.140625" hidden="1" customWidth="1"/>
  </cols>
  <sheetData>
    <row r="1" spans="1:5" ht="30" customHeight="1" x14ac:dyDescent="0.25">
      <c r="A1" s="38" t="s">
        <v>198</v>
      </c>
      <c r="B1" s="38"/>
      <c r="C1" s="38"/>
      <c r="D1" s="38"/>
      <c r="E1" s="38"/>
    </row>
    <row r="2" spans="1:5" ht="18" customHeight="1" x14ac:dyDescent="0.25">
      <c r="A2" s="32" t="s">
        <v>192</v>
      </c>
      <c r="B2" s="33"/>
      <c r="C2" s="33"/>
      <c r="D2" s="33"/>
      <c r="E2" s="33"/>
    </row>
    <row r="4" spans="1:5" ht="21.95" customHeight="1" x14ac:dyDescent="0.25">
      <c r="A4" s="34" t="s">
        <v>161</v>
      </c>
      <c r="B4" s="33"/>
      <c r="C4" s="33"/>
      <c r="D4" s="33"/>
    </row>
    <row r="5" spans="1:5" ht="18" customHeight="1" x14ac:dyDescent="0.25">
      <c r="A5" s="42" t="s">
        <v>162</v>
      </c>
      <c r="B5" s="42" t="s">
        <v>163</v>
      </c>
      <c r="C5" s="42" t="s">
        <v>3</v>
      </c>
      <c r="D5" s="42" t="s">
        <v>88</v>
      </c>
    </row>
    <row r="6" spans="1:5" ht="21.95" customHeight="1" x14ac:dyDescent="0.25">
      <c r="A6" s="4" t="s">
        <v>164</v>
      </c>
      <c r="B6" s="24" t="s">
        <v>165</v>
      </c>
      <c r="C6" s="6" t="s">
        <v>166</v>
      </c>
      <c r="D6" s="11" t="s">
        <v>43</v>
      </c>
    </row>
    <row r="7" spans="1:5" ht="21.95" customHeight="1" x14ac:dyDescent="0.25">
      <c r="A7" s="16" t="s">
        <v>167</v>
      </c>
      <c r="B7" s="25" t="s">
        <v>168</v>
      </c>
      <c r="C7" s="3" t="s">
        <v>169</v>
      </c>
      <c r="D7" s="12" t="s">
        <v>43</v>
      </c>
    </row>
    <row r="8" spans="1:5" ht="21.95" customHeight="1" x14ac:dyDescent="0.25">
      <c r="A8" s="4" t="s">
        <v>28</v>
      </c>
      <c r="B8" s="24" t="s">
        <v>170</v>
      </c>
      <c r="C8" s="6" t="s">
        <v>171</v>
      </c>
      <c r="D8" s="11" t="s">
        <v>172</v>
      </c>
    </row>
    <row r="10" spans="1:5" ht="21.95" customHeight="1" x14ac:dyDescent="0.25">
      <c r="A10" s="34" t="s">
        <v>173</v>
      </c>
      <c r="B10" s="33"/>
      <c r="C10" s="33"/>
      <c r="D10" s="33"/>
    </row>
    <row r="11" spans="1:5" ht="18" customHeight="1" x14ac:dyDescent="0.25">
      <c r="A11" s="42" t="s">
        <v>162</v>
      </c>
      <c r="B11" s="42" t="s">
        <v>163</v>
      </c>
      <c r="C11" s="42" t="s">
        <v>3</v>
      </c>
      <c r="D11" s="42" t="s">
        <v>88</v>
      </c>
    </row>
    <row r="12" spans="1:5" ht="21.95" customHeight="1" x14ac:dyDescent="0.25">
      <c r="A12" s="46" t="s">
        <v>164</v>
      </c>
      <c r="B12" s="47" t="s">
        <v>165</v>
      </c>
      <c r="C12" s="48" t="s">
        <v>166</v>
      </c>
      <c r="D12" s="29" t="s">
        <v>43</v>
      </c>
    </row>
    <row r="13" spans="1:5" ht="21.95" customHeight="1" x14ac:dyDescent="0.25">
      <c r="A13" s="49" t="s">
        <v>167</v>
      </c>
      <c r="B13" s="50" t="s">
        <v>174</v>
      </c>
      <c r="C13" s="51" t="s">
        <v>175</v>
      </c>
      <c r="D13" s="31" t="s">
        <v>43</v>
      </c>
    </row>
    <row r="14" spans="1:5" ht="21.95" customHeight="1" x14ac:dyDescent="0.25">
      <c r="A14" s="46" t="s">
        <v>28</v>
      </c>
      <c r="B14" s="47" t="s">
        <v>168</v>
      </c>
      <c r="C14" s="48" t="s">
        <v>176</v>
      </c>
      <c r="D14" s="29" t="s">
        <v>43</v>
      </c>
    </row>
    <row r="15" spans="1:5" ht="21.95" customHeight="1" x14ac:dyDescent="0.25">
      <c r="A15" s="49" t="s">
        <v>177</v>
      </c>
      <c r="B15" s="50" t="s">
        <v>178</v>
      </c>
      <c r="C15" s="51" t="s">
        <v>179</v>
      </c>
      <c r="D15" s="31" t="s">
        <v>43</v>
      </c>
    </row>
    <row r="17" spans="1:4" ht="21.95" customHeight="1" x14ac:dyDescent="0.25">
      <c r="A17" s="34" t="s">
        <v>180</v>
      </c>
      <c r="B17" s="33"/>
      <c r="C17" s="33"/>
      <c r="D17" s="33"/>
    </row>
    <row r="18" spans="1:4" ht="18" customHeight="1" x14ac:dyDescent="0.25">
      <c r="A18" s="42" t="s">
        <v>162</v>
      </c>
      <c r="B18" s="42" t="s">
        <v>163</v>
      </c>
      <c r="C18" s="42" t="s">
        <v>3</v>
      </c>
      <c r="D18" s="42" t="s">
        <v>88</v>
      </c>
    </row>
    <row r="19" spans="1:4" ht="21.95" customHeight="1" x14ac:dyDescent="0.25">
      <c r="A19" s="46">
        <v>1</v>
      </c>
      <c r="B19" s="47" t="s">
        <v>181</v>
      </c>
      <c r="C19" s="48" t="s">
        <v>182</v>
      </c>
      <c r="D19" s="29" t="s">
        <v>43</v>
      </c>
    </row>
    <row r="20" spans="1:4" ht="21.95" customHeight="1" x14ac:dyDescent="0.25">
      <c r="A20" s="49" t="s">
        <v>167</v>
      </c>
      <c r="B20" s="50" t="s">
        <v>183</v>
      </c>
      <c r="C20" s="51" t="s">
        <v>184</v>
      </c>
      <c r="D20" s="31" t="s">
        <v>172</v>
      </c>
    </row>
    <row r="21" spans="1:4" ht="21.95" customHeight="1" x14ac:dyDescent="0.25">
      <c r="A21" s="46" t="s">
        <v>28</v>
      </c>
      <c r="B21" s="47" t="s">
        <v>185</v>
      </c>
      <c r="C21" s="48" t="s">
        <v>186</v>
      </c>
      <c r="D21" s="29" t="s">
        <v>43</v>
      </c>
    </row>
  </sheetData>
  <mergeCells count="5">
    <mergeCell ref="A17:D17"/>
    <mergeCell ref="A2:E2"/>
    <mergeCell ref="A4:D4"/>
    <mergeCell ref="A1:E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General</vt:lpstr>
      <vt:lpstr>Entidades y Funciones</vt:lpstr>
      <vt:lpstr>Validaciones y Reglas</vt:lpstr>
      <vt:lpstr>Funciones Especiales</vt:lpstr>
      <vt:lpstr>Flujos de 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Castellanos</cp:lastModifiedBy>
  <dcterms:created xsi:type="dcterms:W3CDTF">2026-03-19T15:36:03Z</dcterms:created>
  <dcterms:modified xsi:type="dcterms:W3CDTF">2026-03-19T16:13:25Z</dcterms:modified>
</cp:coreProperties>
</file>